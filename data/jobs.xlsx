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<sst xmlns="http://schemas.openxmlformats.org/spreadsheetml/2006/main" count="277" uniqueCount="130">
  <si>
    <t>title</t>
  </si>
  <si>
    <t>company</t>
  </si>
  <si>
    <t>location</t>
  </si>
  <si>
    <t>link</t>
  </si>
  <si>
    <t>source</t>
  </si>
  <si>
    <t>Frontend TypeScript Developer</t>
  </si>
  <si>
    <t>Frontend Engineer</t>
  </si>
  <si>
    <t>FrontEnd Software Engineer (Remote)</t>
  </si>
  <si>
    <t>Frontend Developer</t>
  </si>
  <si>
    <t>Frontend Developer (m/w/d)</t>
  </si>
  <si>
    <t>Senior Frontend Engineer</t>
  </si>
  <si>
    <t>Frontend Engineer (Remote)</t>
  </si>
  <si>
    <t>Full Stack Developer (Javascript)</t>
  </si>
  <si>
    <t>SDE 1 - Frontend (Web)</t>
  </si>
  <si>
    <t>Software Engineer – Front End (JavaScript &amp; TypeScript – React/Angular) | Bangalore | 5–8 Years</t>
  </si>
  <si>
    <t>Software Engineer II, FrontEnd</t>
  </si>
  <si>
    <t>Frontend Developer (SDE-1)</t>
  </si>
  <si>
    <t>Frontend Developer Intern</t>
  </si>
  <si>
    <t>Software Engineer - Frontend</t>
  </si>
  <si>
    <t>Frontend Developer – HTML/CSS (Freelancer)</t>
  </si>
  <si>
    <t>Front End Software Developer (JavaScript, React ) (Remote, Full-Time) [HR132]</t>
  </si>
  <si>
    <t>Frontend Developer (Freelancer)</t>
  </si>
  <si>
    <t>Software Engineer - Frontend Development</t>
  </si>
  <si>
    <t>React Front-End Developer (966)</t>
  </si>
  <si>
    <t>React/JavaScript Engineer (Frontend) | Remote</t>
  </si>
  <si>
    <t>Frontend Engineer, React.js</t>
  </si>
  <si>
    <t>(Junior) Frontend Engineer (m/w/d)</t>
  </si>
  <si>
    <t>Junior Frontend Developer (m/w/d) – Fokus AI &amp; UI/UX</t>
  </si>
  <si>
    <t>Frontend Developer (m/f)</t>
  </si>
  <si>
    <t>Frontend Engineer (m/w/d) - Berlin</t>
  </si>
  <si>
    <t>Senior Frontend Engineer (ReactJS) (m/f/d)</t>
  </si>
  <si>
    <t>FRONTEND DEVELOPER INTER</t>
  </si>
  <si>
    <t>Frontend Engineer - Investments Team</t>
  </si>
  <si>
    <t>React Developer</t>
  </si>
  <si>
    <t>Senior Software Engineer - Frontend</t>
  </si>
  <si>
    <t>Senior Frontend Engineer - Periscope</t>
  </si>
  <si>
    <t>React JS Developer Intern</t>
  </si>
  <si>
    <t>React JS Developer</t>
  </si>
  <si>
    <t>Junior JavaScript Developer - Remote Work</t>
  </si>
  <si>
    <t>React JS Developer in Hyderabad</t>
  </si>
  <si>
    <t>React.JS Developer in Ahmedabad</t>
  </si>
  <si>
    <t>ReactJS Development Internship in Ahmedabad</t>
  </si>
  <si>
    <t>Front End Engineer (Vue.js/React.js) (Remote, Full-Time) [IS004]</t>
  </si>
  <si>
    <t>Full Stack Developer (React.js &amp; Node.js)</t>
  </si>
  <si>
    <t>Frontend Developer(wireframe)</t>
  </si>
  <si>
    <t>Frontend Developer (Vue.JS)</t>
  </si>
  <si>
    <t>Junior Full Stack Developer (PHP / JavaScript) (m/w/d)</t>
  </si>
  <si>
    <t>Alignerr</t>
  </si>
  <si>
    <t>dynamism</t>
  </si>
  <si>
    <t>Taskify AI</t>
  </si>
  <si>
    <t>Nexus Consulting</t>
  </si>
  <si>
    <t>Ambyint</t>
  </si>
  <si>
    <t>Havas CX Canada</t>
  </si>
  <si>
    <t>Micromart</t>
  </si>
  <si>
    <t>Tata Consultancy Services</t>
  </si>
  <si>
    <t>ITB GmbH</t>
  </si>
  <si>
    <t>FetchJobs.co</t>
  </si>
  <si>
    <t>Best Job Tool</t>
  </si>
  <si>
    <t>mula.</t>
  </si>
  <si>
    <t>North Star Staffing</t>
  </si>
  <si>
    <t>Jobgether</t>
  </si>
  <si>
    <t>Licious</t>
  </si>
  <si>
    <t>Cisco</t>
  </si>
  <si>
    <t>Uber</t>
  </si>
  <si>
    <t>LimeChat</t>
  </si>
  <si>
    <t>SkilloVilla</t>
  </si>
  <si>
    <t>PayPal</t>
  </si>
  <si>
    <t>Deccan AI Experts</t>
  </si>
  <si>
    <t>Smart Working</t>
  </si>
  <si>
    <t>Graystone Capital MENA</t>
  </si>
  <si>
    <t>Metron Inc.</t>
  </si>
  <si>
    <t>Sharp Decisions</t>
  </si>
  <si>
    <t>TIU Consulting</t>
  </si>
  <si>
    <t>Crossing Hurdles</t>
  </si>
  <si>
    <t>BET99</t>
  </si>
  <si>
    <t>Deel</t>
  </si>
  <si>
    <t>Evernest</t>
  </si>
  <si>
    <t>Weissenberg Group</t>
  </si>
  <si>
    <t>Neuffer Fenster + Türen GmbH</t>
  </si>
  <si>
    <t>Code Compass 🧭</t>
  </si>
  <si>
    <t>SR2 | Socially Responsible Recruitment | Certified B Corporation™</t>
  </si>
  <si>
    <t>JOIN</t>
  </si>
  <si>
    <t>JHC Consulting</t>
  </si>
  <si>
    <t>Kota</t>
  </si>
  <si>
    <t>Ryanair - Europe's Favourite Airline</t>
  </si>
  <si>
    <t>Comtrade 360</t>
  </si>
  <si>
    <t>Stripe</t>
  </si>
  <si>
    <t>Persistent Systems</t>
  </si>
  <si>
    <t>Roku</t>
  </si>
  <si>
    <t>McKinsey &amp; Company</t>
  </si>
  <si>
    <t>Weboin Digital Marketing Agency</t>
  </si>
  <si>
    <t>Scoutit</t>
  </si>
  <si>
    <t>TECEZE</t>
  </si>
  <si>
    <t>BairesDev</t>
  </si>
  <si>
    <t>Wenger &amp; Watson</t>
  </si>
  <si>
    <t>Katalyst CRO</t>
  </si>
  <si>
    <t>Educase India</t>
  </si>
  <si>
    <t>Chaintech Network</t>
  </si>
  <si>
    <t>E2logy Software Solutions</t>
  </si>
  <si>
    <t>Quik Hire Staffing</t>
  </si>
  <si>
    <t>Ubique Systems</t>
  </si>
  <si>
    <t>Tanla Platforms Limited</t>
  </si>
  <si>
    <t>FinMent</t>
  </si>
  <si>
    <t>San Francisco, CA</t>
  </si>
  <si>
    <t>New York City Metropolitan Area</t>
  </si>
  <si>
    <t>Canada</t>
  </si>
  <si>
    <t>United States</t>
  </si>
  <si>
    <t>Calgary, Alberta, Canada</t>
  </si>
  <si>
    <t>Greater Toronto Area, Canada</t>
  </si>
  <si>
    <t>Toronto, Ontario, Canada</t>
  </si>
  <si>
    <t>Kamp-Lintfort, North Rhine-Westphalia, Germany</t>
  </si>
  <si>
    <t>Germany</t>
  </si>
  <si>
    <t>Berlin, Berlin, Germany</t>
  </si>
  <si>
    <t>Bengaluru, Karnataka, India</t>
  </si>
  <si>
    <t>Chennai, Tamil Nadu, India</t>
  </si>
  <si>
    <t>Hyderabad, Telangana, India</t>
  </si>
  <si>
    <t>Ahmedabad, Gujarat, India</t>
  </si>
  <si>
    <t>Reston, VA</t>
  </si>
  <si>
    <t>Charlotte, NC</t>
  </si>
  <si>
    <t>Hamburg, Hamburg, Germany</t>
  </si>
  <si>
    <t>Wolfsburg, Lower Saxony, Germany</t>
  </si>
  <si>
    <t>Stuttgart, Baden-Württemberg, Germany</t>
  </si>
  <si>
    <t>Berlin, Germany</t>
  </si>
  <si>
    <t>Hamburg, Germany</t>
  </si>
  <si>
    <t>Ireland</t>
  </si>
  <si>
    <t>Dublin, County Dublin, Ireland</t>
  </si>
  <si>
    <t>Galway, County Galway, Ireland</t>
  </si>
  <si>
    <t>Bengaluru East, Karnataka, India</t>
  </si>
  <si>
    <t>Mexico</t>
  </si>
  <si>
    <t>LinkedIn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</si>
</sst>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47</v>
      </c>
      <c r="C2" t="s">
        <v>103</v>
      </c>
      <c r="D2">
        <f>HYPERLINK("https://www.linkedin.com/jobs/view/frontend-typescript-developer-at-alignerr-4382641763?position=1&amp;pageNum=0&amp;refId=lvLprFuPEOxKxyAHVCEzWQ%3D%3D&amp;trackingId=IAmz5eBj%2FLEuZbzdzNBkNg%3D%3D","Open Job")</f>
        <v>0</v>
      </c>
      <c r="E2" t="s">
        <v>129</v>
      </c>
    </row>
    <row r="3" spans="1:5">
      <c r="A3" t="s">
        <v>6</v>
      </c>
      <c r="B3" t="s">
        <v>48</v>
      </c>
      <c r="C3" t="s">
        <v>104</v>
      </c>
      <c r="D3">
        <f>HYPERLINK("https://www.linkedin.com/jobs/view/frontend-engineer-at-dynamism-4382946658?position=2&amp;pageNum=0&amp;refId=lvLprFuPEOxKxyAHVCEzWQ%3D%3D&amp;trackingId=IJOiSqzigIdkp7TjSItezQ%3D%3D","Open Job")</f>
        <v>0</v>
      </c>
      <c r="E3" t="s">
        <v>129</v>
      </c>
    </row>
    <row r="4" spans="1:5">
      <c r="A4" t="s">
        <v>7</v>
      </c>
      <c r="B4" t="s">
        <v>49</v>
      </c>
      <c r="C4" t="s">
        <v>105</v>
      </c>
      <c r="D4">
        <f>HYPERLINK("https://ca.linkedin.com/jobs/view/frontend-software-engineer-remote-at-taskify-ai-4382929800?position=7&amp;pageNum=0&amp;refId=lvLprFuPEOxKxyAHVCEzWQ%3D%3D&amp;trackingId=VetDzvnul0z2DN7pE0UZ3w%3D%3D","Open Job")</f>
        <v>0</v>
      </c>
      <c r="E4" t="s">
        <v>129</v>
      </c>
    </row>
    <row r="5" spans="1:5">
      <c r="A5" t="s">
        <v>7</v>
      </c>
      <c r="B5" t="s">
        <v>50</v>
      </c>
      <c r="C5" t="s">
        <v>106</v>
      </c>
      <c r="D5">
        <f>HYPERLINK("https://www.linkedin.com/jobs/view/frontend-software-engineer-remote-at-nexus-consulting-4382950212?position=10&amp;pageNum=0&amp;refId=lvLprFuPEOxKxyAHVCEzWQ%3D%3D&amp;trackingId=FZmnNOFuk7VmQTMjraijPg%3D%3D","Open Job")</f>
        <v>0</v>
      </c>
      <c r="E5" t="s">
        <v>129</v>
      </c>
    </row>
    <row r="6" spans="1:5">
      <c r="A6" t="s">
        <v>8</v>
      </c>
      <c r="B6" t="s">
        <v>51</v>
      </c>
      <c r="C6" t="s">
        <v>107</v>
      </c>
      <c r="D6">
        <f>HYPERLINK("https://ca.linkedin.com/jobs/view/frontend-developer-at-ambyint-4382372082?position=1&amp;pageNum=0&amp;refId=DCPIieYFGXjPgXwJYkIwKw%3D%3D&amp;trackingId=9MVzAFxbZsTdJPqVzMWJwg%3D%3D","Open Job")</f>
        <v>0</v>
      </c>
      <c r="E6" t="s">
        <v>129</v>
      </c>
    </row>
    <row r="7" spans="1:5">
      <c r="A7" t="s">
        <v>8</v>
      </c>
      <c r="B7" t="s">
        <v>52</v>
      </c>
      <c r="C7" t="s">
        <v>105</v>
      </c>
      <c r="D7">
        <f>HYPERLINK("https://ca.linkedin.com/jobs/view/frontend-developer-at-havas-cx-canada-4382116206?position=3&amp;pageNum=0&amp;refId=DCPIieYFGXjPgXwJYkIwKw%3D%3D&amp;trackingId=cE3mFWQC4eGcp%2BO7op9cOw%3D%3D","Open Job")</f>
        <v>0</v>
      </c>
      <c r="E7" t="s">
        <v>129</v>
      </c>
    </row>
    <row r="8" spans="1:5">
      <c r="A8" t="s">
        <v>8</v>
      </c>
      <c r="B8" t="s">
        <v>53</v>
      </c>
      <c r="C8" t="s">
        <v>108</v>
      </c>
      <c r="D8">
        <f>HYPERLINK("https://ca.linkedin.com/jobs/view/frontend-developer-at-micromart-4381085213?position=6&amp;pageNum=0&amp;refId=DCPIieYFGXjPgXwJYkIwKw%3D%3D&amp;trackingId=xN%2Fu4kQyNLFQq5S%2BfSU7dw%3D%3D","Open Job")</f>
        <v>0</v>
      </c>
      <c r="E8" t="s">
        <v>129</v>
      </c>
    </row>
    <row r="9" spans="1:5">
      <c r="A9" t="s">
        <v>8</v>
      </c>
      <c r="B9" t="s">
        <v>54</v>
      </c>
      <c r="C9" t="s">
        <v>109</v>
      </c>
      <c r="D9">
        <f>HYPERLINK("https://ca.linkedin.com/jobs/view/frontend-developer-at-tata-consultancy-services-4381051246?position=10&amp;pageNum=0&amp;refId=DCPIieYFGXjPgXwJYkIwKw%3D%3D&amp;trackingId=586GCW65QYwKwBxyelv2vQ%3D%3D","Open Job")</f>
        <v>0</v>
      </c>
      <c r="E9" t="s">
        <v>129</v>
      </c>
    </row>
    <row r="10" spans="1:5">
      <c r="A10" t="s">
        <v>9</v>
      </c>
      <c r="B10" t="s">
        <v>55</v>
      </c>
      <c r="C10" t="s">
        <v>110</v>
      </c>
      <c r="D10">
        <f>HYPERLINK("https://de.linkedin.com/jobs/view/frontend-developer-m-w-d-at-itb-gmbh-4382689177?position=2&amp;pageNum=0&amp;refId=OgdcAYSekNi2z6qbDOl8VA%3D%3D&amp;trackingId=ifaCK4ZRK2Ugf8DRFSE7ww%3D%3D","Open Job")</f>
        <v>0</v>
      </c>
      <c r="E10" t="s">
        <v>129</v>
      </c>
    </row>
    <row r="11" spans="1:5">
      <c r="A11" t="s">
        <v>8</v>
      </c>
      <c r="B11" t="s">
        <v>56</v>
      </c>
      <c r="C11" t="s">
        <v>111</v>
      </c>
      <c r="D11">
        <f>HYPERLINK("https://de.linkedin.com/jobs/view/frontend-developer-at-fetchjobs-co-4381582490?position=3&amp;pageNum=0&amp;refId=OgdcAYSekNi2z6qbDOl8VA%3D%3D&amp;trackingId=1l6jD06pVakuhGtjFsl1UA%3D%3D","Open Job")</f>
        <v>0</v>
      </c>
      <c r="E11" t="s">
        <v>129</v>
      </c>
    </row>
    <row r="12" spans="1:5">
      <c r="A12" t="s">
        <v>8</v>
      </c>
      <c r="B12" t="s">
        <v>57</v>
      </c>
      <c r="C12" t="s">
        <v>111</v>
      </c>
      <c r="D12">
        <f>HYPERLINK("https://de.linkedin.com/jobs/view/frontend-developer-at-best-job-tool-4382936306?position=4&amp;pageNum=0&amp;refId=OgdcAYSekNi2z6qbDOl8VA%3D%3D&amp;trackingId=vsCgS2LNxOosnCxCXoQjaQ%3D%3D","Open Job")</f>
        <v>0</v>
      </c>
      <c r="E12" t="s">
        <v>129</v>
      </c>
    </row>
    <row r="13" spans="1:5">
      <c r="A13" t="s">
        <v>10</v>
      </c>
      <c r="B13" t="s">
        <v>58</v>
      </c>
      <c r="C13" t="s">
        <v>112</v>
      </c>
      <c r="D13">
        <f>HYPERLINK("https://de.linkedin.com/jobs/view/senior-frontend-engineer-at-mula-4381700999?position=5&amp;pageNum=0&amp;refId=OgdcAYSekNi2z6qbDOl8VA%3D%3D&amp;trackingId=YdKIHaV%2FzIAMZUx%2FgIFCDg%3D%3D","Open Job")</f>
        <v>0</v>
      </c>
      <c r="E13" t="s">
        <v>129</v>
      </c>
    </row>
    <row r="14" spans="1:5">
      <c r="A14" t="s">
        <v>11</v>
      </c>
      <c r="B14" t="s">
        <v>59</v>
      </c>
      <c r="C14" t="s">
        <v>111</v>
      </c>
      <c r="D14">
        <f>HYPERLINK("https://de.linkedin.com/jobs/view/frontend-engineer-remote-at-north-star-staffing-4382939925?position=7&amp;pageNum=0&amp;refId=OgdcAYSekNi2z6qbDOl8VA%3D%3D&amp;trackingId=jwoYjeg0PF25Sb46QtAp0Q%3D%3D","Open Job")</f>
        <v>0</v>
      </c>
      <c r="E14" t="s">
        <v>129</v>
      </c>
    </row>
    <row r="15" spans="1:5">
      <c r="A15" t="s">
        <v>12</v>
      </c>
      <c r="B15" t="s">
        <v>60</v>
      </c>
      <c r="C15" t="s">
        <v>111</v>
      </c>
      <c r="D15">
        <f>HYPERLINK("https://de.linkedin.com/jobs/view/full-stack-developer-javascript-at-jobgether-4382902539?position=9&amp;pageNum=0&amp;refId=OgdcAYSekNi2z6qbDOl8VA%3D%3D&amp;trackingId=HtVMcFLefFnI06t1j%2BVf%2BA%3D%3D","Open Job")</f>
        <v>0</v>
      </c>
      <c r="E15" t="s">
        <v>129</v>
      </c>
    </row>
    <row r="16" spans="1:5">
      <c r="A16" t="s">
        <v>13</v>
      </c>
      <c r="B16" t="s">
        <v>61</v>
      </c>
      <c r="C16" t="s">
        <v>113</v>
      </c>
      <c r="D16">
        <f>HYPERLINK("https://in.linkedin.com/jobs/view/sde-1-frontend-web-at-licious-4381004417?position=2&amp;pageNum=0&amp;refId=Bi%2FpG9oDmtZSDeezHTEV8w%3D%3D&amp;trackingId=KN5X71HsK3vrUEVrfwHpqw%3D%3D","Open Job")</f>
        <v>0</v>
      </c>
      <c r="E16" t="s">
        <v>129</v>
      </c>
    </row>
    <row r="17" spans="1:5">
      <c r="A17" t="s">
        <v>14</v>
      </c>
      <c r="B17" t="s">
        <v>62</v>
      </c>
      <c r="C17" t="s">
        <v>113</v>
      </c>
      <c r="D17">
        <f>HYPERLINK("https://in.linkedin.com/jobs/view/software-engineer-%E2%80%93-front-end-javascript-typescript-%E2%80%93-react-angular-bangalore-5%E2%80%938-years-at-cisco-4380979913?position=3&amp;pageNum=0&amp;refId=Bi%2FpG9oDmtZSDeezHTEV8w%3D%3D&amp;trackingId=Ed9C%2Fx%2FMTWdv0q%2F7NhU%2BWw%3D%3D","Open Job")</f>
        <v>0</v>
      </c>
      <c r="E17" t="s">
        <v>129</v>
      </c>
    </row>
    <row r="18" spans="1:5">
      <c r="A18" t="s">
        <v>15</v>
      </c>
      <c r="B18" t="s">
        <v>63</v>
      </c>
      <c r="C18" t="s">
        <v>113</v>
      </c>
      <c r="D18">
        <f>HYPERLINK("https://in.linkedin.com/jobs/view/software-engineer-ii-frontend-at-uber-4382952295?position=4&amp;pageNum=0&amp;refId=Bi%2FpG9oDmtZSDeezHTEV8w%3D%3D&amp;trackingId=Mqa%2B%2FNy3fPJ3kSZuIh%2FN2w%3D%3D","Open Job")</f>
        <v>0</v>
      </c>
      <c r="E18" t="s">
        <v>129</v>
      </c>
    </row>
    <row r="19" spans="1:5">
      <c r="A19" t="s">
        <v>16</v>
      </c>
      <c r="B19" t="s">
        <v>64</v>
      </c>
      <c r="C19" t="s">
        <v>113</v>
      </c>
      <c r="D19">
        <f>HYPERLINK("https://in.linkedin.com/jobs/view/frontend-developer-sde-1-at-limechat-4379862161?position=7&amp;pageNum=0&amp;refId=Bi%2FpG9oDmtZSDeezHTEV8w%3D%3D&amp;trackingId=BNo9bs%2BtXNGF8qw7UZAlvA%3D%3D","Open Job")</f>
        <v>0</v>
      </c>
      <c r="E19" t="s">
        <v>129</v>
      </c>
    </row>
    <row r="20" spans="1:5">
      <c r="A20" t="s">
        <v>17</v>
      </c>
      <c r="B20" t="s">
        <v>65</v>
      </c>
      <c r="C20" t="s">
        <v>113</v>
      </c>
      <c r="D20">
        <f>HYPERLINK("https://in.linkedin.com/jobs/view/frontend-developer-intern-at-skillovilla-4381027138?position=10&amp;pageNum=0&amp;refId=Bi%2FpG9oDmtZSDeezHTEV8w%3D%3D&amp;trackingId=k8YQGIq3d7KfGqZ8Irx%2F9A%3D%3D","Open Job")</f>
        <v>0</v>
      </c>
      <c r="E20" t="s">
        <v>129</v>
      </c>
    </row>
    <row r="21" spans="1:5">
      <c r="A21" t="s">
        <v>18</v>
      </c>
      <c r="B21" t="s">
        <v>66</v>
      </c>
      <c r="C21" t="s">
        <v>114</v>
      </c>
      <c r="D21">
        <f>HYPERLINK("https://in.linkedin.com/jobs/view/software-engineer-frontend-at-paypal-4348410085?position=1&amp;pageNum=0&amp;refId=R2Pn0iJVFLt0Or1MZ6JEqg%3D%3D&amp;trackingId=6fi28IM3oGTD4SqF2p%2FuNw%3D%3D","Open Job")</f>
        <v>0</v>
      </c>
      <c r="E21" t="s">
        <v>129</v>
      </c>
    </row>
    <row r="22" spans="1:5">
      <c r="A22" t="s">
        <v>19</v>
      </c>
      <c r="B22" t="s">
        <v>67</v>
      </c>
      <c r="C22" t="s">
        <v>114</v>
      </c>
      <c r="D22">
        <f>HYPERLINK("https://in.linkedin.com/jobs/view/frontend-developer-%E2%80%93-html-css-freelancer-at-deccan-ai-experts-4380354385?position=4&amp;pageNum=0&amp;refId=R2Pn0iJVFLt0Or1MZ6JEqg%3D%3D&amp;trackingId=3dbc8Mh7Qp63xVf1S22jVg%3D%3D","Open Job")</f>
        <v>0</v>
      </c>
      <c r="E22" t="s">
        <v>129</v>
      </c>
    </row>
    <row r="23" spans="1:5">
      <c r="A23" t="s">
        <v>19</v>
      </c>
      <c r="B23" t="s">
        <v>67</v>
      </c>
      <c r="C23" t="s">
        <v>115</v>
      </c>
      <c r="D23">
        <f>HYPERLINK("https://in.linkedin.com/jobs/view/frontend-developer-%E2%80%93-html-css-freelancer-at-deccan-ai-experts-4380337616?position=6&amp;pageNum=0&amp;refId=XRYvNb3gPZTtiO72QHjQHQ%3D%3D&amp;trackingId=jVmjq8rZzpBZ0hm%2Bmwg4dw%3D%3D","Open Job")</f>
        <v>0</v>
      </c>
      <c r="E23" t="s">
        <v>129</v>
      </c>
    </row>
    <row r="24" spans="1:5">
      <c r="A24" t="s">
        <v>20</v>
      </c>
      <c r="B24" t="s">
        <v>68</v>
      </c>
      <c r="C24" t="s">
        <v>116</v>
      </c>
      <c r="D24">
        <f>HYPERLINK("https://in.linkedin.com/jobs/view/front-end-software-developer-javascript-react-remote-full-time-hr132-at-smart-working-4380240510?position=2&amp;pageNum=0&amp;refId=dGm7%2FUoajPaPh%2BfnhSyF4g%3D%3D&amp;trackingId=6Qvlt%2BgXOH4%2FlSNpfGRk6Q%3D%3D","Open Job")</f>
        <v>0</v>
      </c>
      <c r="E24" t="s">
        <v>129</v>
      </c>
    </row>
    <row r="25" spans="1:5">
      <c r="A25" t="s">
        <v>21</v>
      </c>
      <c r="B25" t="s">
        <v>67</v>
      </c>
      <c r="C25" t="s">
        <v>116</v>
      </c>
      <c r="D25">
        <f>HYPERLINK("https://in.linkedin.com/jobs/view/frontend-developer-freelancer-at-deccan-ai-experts-4380943681?position=3&amp;pageNum=0&amp;refId=dGm7%2FUoajPaPh%2BfnhSyF4g%3D%3D&amp;trackingId=WPIZzfsSPuBJVwjEBg9FwA%3D%3D","Open Job")</f>
        <v>0</v>
      </c>
      <c r="E25" t="s">
        <v>129</v>
      </c>
    </row>
    <row r="26" spans="1:5">
      <c r="A26" t="s">
        <v>8</v>
      </c>
      <c r="B26" t="s">
        <v>69</v>
      </c>
      <c r="C26" t="s">
        <v>116</v>
      </c>
      <c r="D26">
        <f>HYPERLINK("https://in.linkedin.com/jobs/view/frontend-developer-at-graystone-capital-mena-4381256421?position=7&amp;pageNum=0&amp;refId=dGm7%2FUoajPaPh%2BfnhSyF4g%3D%3D&amp;trackingId=43vJ4uAuPFSGUlh1BXvPMg%3D%3D","Open Job")</f>
        <v>0</v>
      </c>
      <c r="E26" t="s">
        <v>129</v>
      </c>
    </row>
    <row r="27" spans="1:5">
      <c r="A27" t="s">
        <v>22</v>
      </c>
      <c r="B27" t="s">
        <v>70</v>
      </c>
      <c r="C27" t="s">
        <v>117</v>
      </c>
      <c r="D27">
        <f>HYPERLINK("https://www.linkedin.com/jobs/view/software-engineer-frontend-development-at-metron-inc-4379961813?position=3&amp;pageNum=0&amp;refId=DpZ9FtcjVf8MXmSaKAlveQ%3D%3D&amp;trackingId=11SYgq4bIoIogbrkb5rkpg%3D%3D","Open Job")</f>
        <v>0</v>
      </c>
      <c r="E27" t="s">
        <v>129</v>
      </c>
    </row>
    <row r="28" spans="1:5">
      <c r="A28" t="s">
        <v>23</v>
      </c>
      <c r="B28" t="s">
        <v>71</v>
      </c>
      <c r="C28" t="s">
        <v>118</v>
      </c>
      <c r="D28">
        <f>HYPERLINK("https://www.linkedin.com/jobs/view/react-front-end-developer-966-at-sharp-decisions-4380362564?position=7&amp;pageNum=0&amp;refId=DpZ9FtcjVf8MXmSaKAlveQ%3D%3D&amp;trackingId=7zzX7OY847DLfeWous2%2FXQ%3D%3D","Open Job")</f>
        <v>0</v>
      </c>
      <c r="E28" t="s">
        <v>129</v>
      </c>
    </row>
    <row r="29" spans="1:5">
      <c r="A29" t="s">
        <v>8</v>
      </c>
      <c r="B29" t="s">
        <v>72</v>
      </c>
      <c r="C29" t="s">
        <v>105</v>
      </c>
      <c r="D29">
        <f>HYPERLINK("https://ca.linkedin.com/jobs/view/frontend-developer-at-tiu-consulting-4380386019?position=2&amp;pageNum=0&amp;refId=lw4ysPd5vF9mX949nCnMQg%3D%3D&amp;trackingId=s9NfvQDOGpbYeQoHqAfk2A%3D%3D","Open Job")</f>
        <v>0</v>
      </c>
      <c r="E29" t="s">
        <v>129</v>
      </c>
    </row>
    <row r="30" spans="1:5">
      <c r="A30" t="s">
        <v>24</v>
      </c>
      <c r="B30" t="s">
        <v>73</v>
      </c>
      <c r="C30" t="s">
        <v>105</v>
      </c>
      <c r="D30">
        <f>HYPERLINK("https://ca.linkedin.com/jobs/view/react-javascript-engineer-frontend-remote-at-crossing-hurdles-4379170581?position=4&amp;pageNum=0&amp;refId=lw4ysPd5vF9mX949nCnMQg%3D%3D&amp;trackingId=SMj2DNVtCaQrwrKvZ2PwnQ%3D%3D","Open Job")</f>
        <v>0</v>
      </c>
      <c r="E30" t="s">
        <v>129</v>
      </c>
    </row>
    <row r="31" spans="1:5">
      <c r="A31" t="s">
        <v>8</v>
      </c>
      <c r="B31" t="s">
        <v>74</v>
      </c>
      <c r="C31" t="s">
        <v>105</v>
      </c>
      <c r="D31">
        <f>HYPERLINK("https://ca.linkedin.com/jobs/view/frontend-developer-at-bet99-4323386044?position=6&amp;pageNum=0&amp;refId=lw4ysPd5vF9mX949nCnMQg%3D%3D&amp;trackingId=TueWpQuAXJFu2aL15Yrhtg%3D%3D","Open Job")</f>
        <v>0</v>
      </c>
      <c r="E31" t="s">
        <v>129</v>
      </c>
    </row>
    <row r="32" spans="1:5">
      <c r="A32" t="s">
        <v>25</v>
      </c>
      <c r="B32" t="s">
        <v>75</v>
      </c>
      <c r="C32" t="s">
        <v>105</v>
      </c>
      <c r="D32">
        <f>HYPERLINK("https://ca.linkedin.com/jobs/view/frontend-engineer-react-js-at-deel-4370716292?position=9&amp;pageNum=0&amp;refId=lw4ysPd5vF9mX949nCnMQg%3D%3D&amp;trackingId=oM7J6UiNFFWjvbG5%2Fv9ATg%3D%3D","Open Job")</f>
        <v>0</v>
      </c>
      <c r="E32" t="s">
        <v>129</v>
      </c>
    </row>
    <row r="33" spans="1:5">
      <c r="A33" t="s">
        <v>26</v>
      </c>
      <c r="B33" t="s">
        <v>76</v>
      </c>
      <c r="C33" t="s">
        <v>119</v>
      </c>
      <c r="D33">
        <f>HYPERLINK("https://de.linkedin.com/jobs/view/junior-frontend-engineer-m-w-d-at-evernest-4380872331?position=1&amp;pageNum=0&amp;refId=bDw%2BUmO96kMRVHLJOjWF5w%3D%3D&amp;trackingId=yIEze4Lo4L%2FjXwx4Swm%2BIQ%3D%3D","Open Job")</f>
        <v>0</v>
      </c>
      <c r="E33" t="s">
        <v>129</v>
      </c>
    </row>
    <row r="34" spans="1:5">
      <c r="A34" t="s">
        <v>27</v>
      </c>
      <c r="B34" t="s">
        <v>77</v>
      </c>
      <c r="C34" t="s">
        <v>120</v>
      </c>
      <c r="D34">
        <f>HYPERLINK("https://de.linkedin.com/jobs/view/junior-frontend-developer-m-w-d-%E2%80%93-fokus-ai-ui-ux-at-weissenberg-group-4380838862?position=2&amp;pageNum=0&amp;refId=bDw%2BUmO96kMRVHLJOjWF5w%3D%3D&amp;trackingId=BvS%2FFc9Z8CMso1w2LrbaTA%3D%3D","Open Job")</f>
        <v>0</v>
      </c>
      <c r="E34" t="s">
        <v>129</v>
      </c>
    </row>
    <row r="35" spans="1:5">
      <c r="A35" t="s">
        <v>28</v>
      </c>
      <c r="B35" t="s">
        <v>78</v>
      </c>
      <c r="C35" t="s">
        <v>121</v>
      </c>
      <c r="D35">
        <f>HYPERLINK("https://de.linkedin.com/jobs/view/frontend-developer-m-f-at-neuffer-fenster-%2B-t%C3%BCren-gmbh-4378593355?position=3&amp;pageNum=0&amp;refId=bDw%2BUmO96kMRVHLJOjWF5w%3D%3D&amp;trackingId=9XrC4OM4mIAn0hicvg%2FYrw%3D%3D","Open Job")</f>
        <v>0</v>
      </c>
      <c r="E35" t="s">
        <v>129</v>
      </c>
    </row>
    <row r="36" spans="1:5">
      <c r="A36" t="s">
        <v>29</v>
      </c>
      <c r="B36" t="s">
        <v>79</v>
      </c>
      <c r="C36" t="s">
        <v>122</v>
      </c>
      <c r="D36">
        <f>HYPERLINK("https://de.linkedin.com/jobs/view/frontend-engineer-m-w-d-berlin-at-code-compass-%F0%9F%A7%AD-4380279491?position=4&amp;pageNum=0&amp;refId=bDw%2BUmO96kMRVHLJOjWF5w%3D%3D&amp;trackingId=2NyzGVzZ6KTqKatiZxa9Gg%3D%3D","Open Job")</f>
        <v>0</v>
      </c>
      <c r="E36" t="s">
        <v>129</v>
      </c>
    </row>
    <row r="37" spans="1:5">
      <c r="A37" t="s">
        <v>8</v>
      </c>
      <c r="B37" t="s">
        <v>80</v>
      </c>
      <c r="C37" t="s">
        <v>111</v>
      </c>
      <c r="D37">
        <f>HYPERLINK("https://de.linkedin.com/jobs/view/frontend-developer-at-sr2-socially-responsible-recruitment-certified-b-corporation%E2%84%A2-4379866635?position=5&amp;pageNum=0&amp;refId=bDw%2BUmO96kMRVHLJOjWF5w%3D%3D&amp;trackingId=P47w83%2BjaDJDkkz75OVAQA%3D%3D","Open Job")</f>
        <v>0</v>
      </c>
      <c r="E37" t="s">
        <v>129</v>
      </c>
    </row>
    <row r="38" spans="1:5">
      <c r="A38" t="s">
        <v>26</v>
      </c>
      <c r="B38" t="s">
        <v>76</v>
      </c>
      <c r="C38" t="s">
        <v>123</v>
      </c>
      <c r="D38">
        <f>HYPERLINK("https://de.linkedin.com/jobs/view/junior-frontend-engineer-m-w-d-at-evernest-4380286755?position=6&amp;pageNum=0&amp;refId=bDw%2BUmO96kMRVHLJOjWF5w%3D%3D&amp;trackingId=FayjiKIfC7CFd%2B5oeBMvXg%3D%3D","Open Job")</f>
        <v>0</v>
      </c>
      <c r="E38" t="s">
        <v>129</v>
      </c>
    </row>
    <row r="39" spans="1:5">
      <c r="A39" t="s">
        <v>30</v>
      </c>
      <c r="B39" t="s">
        <v>81</v>
      </c>
      <c r="C39" t="s">
        <v>112</v>
      </c>
      <c r="D39">
        <f>HYPERLINK("https://de.linkedin.com/jobs/view/senior-frontend-engineer-reactjs-m-f-d-at-join-4372898713?position=7&amp;pageNum=0&amp;refId=bDw%2BUmO96kMRVHLJOjWF5w%3D%3D&amp;trackingId=5U5%2BVynQkEhIaGzu4Xi%2Fdg%3D%3D","Open Job")</f>
        <v>0</v>
      </c>
      <c r="E39" t="s">
        <v>129</v>
      </c>
    </row>
    <row r="40" spans="1:5">
      <c r="A40" t="s">
        <v>31</v>
      </c>
      <c r="B40" t="s">
        <v>82</v>
      </c>
      <c r="C40" t="s">
        <v>112</v>
      </c>
      <c r="D40">
        <f>HYPERLINK("https://de.linkedin.com/jobs/view/frontend-developer-inter-at-jhc-consulting-4380900687?position=10&amp;pageNum=0&amp;refId=bDw%2BUmO96kMRVHLJOjWF5w%3D%3D&amp;trackingId=MQnPQYDOhX0x6F1DX2muKA%3D%3D","Open Job")</f>
        <v>0</v>
      </c>
      <c r="E40" t="s">
        <v>129</v>
      </c>
    </row>
    <row r="41" spans="1:5">
      <c r="A41" t="s">
        <v>32</v>
      </c>
      <c r="B41" t="s">
        <v>83</v>
      </c>
      <c r="C41" t="s">
        <v>124</v>
      </c>
      <c r="D41">
        <f>HYPERLINK("https://ie.linkedin.com/jobs/view/frontend-engineer-investments-team-at-kota-4382146803?position=1&amp;pageNum=0&amp;refId=ynIrtJdgApgSzX13DIy0mg%3D%3D&amp;trackingId=G%2F9LE7K3nDOOG5rfSjFMnw%3D%3D","Open Job")</f>
        <v>0</v>
      </c>
      <c r="E41" t="s">
        <v>129</v>
      </c>
    </row>
    <row r="42" spans="1:5">
      <c r="A42" t="s">
        <v>8</v>
      </c>
      <c r="B42" t="s">
        <v>84</v>
      </c>
      <c r="C42" t="s">
        <v>125</v>
      </c>
      <c r="D42">
        <f>HYPERLINK("https://ie.linkedin.com/jobs/view/frontend-developer-at-ryanair-europe-s-favourite-airline-4309849710?position=2&amp;pageNum=0&amp;refId=ynIrtJdgApgSzX13DIy0mg%3D%3D&amp;trackingId=spcqUYmDBeqJ1IsjoFDGcQ%3D%3D","Open Job")</f>
        <v>0</v>
      </c>
      <c r="E42" t="s">
        <v>129</v>
      </c>
    </row>
    <row r="43" spans="1:5">
      <c r="A43" t="s">
        <v>12</v>
      </c>
      <c r="B43" t="s">
        <v>60</v>
      </c>
      <c r="C43" t="s">
        <v>124</v>
      </c>
      <c r="D43">
        <f>HYPERLINK("https://ie.linkedin.com/jobs/view/full-stack-developer-javascript-at-jobgether-4382901607?position=3&amp;pageNum=0&amp;refId=ynIrtJdgApgSzX13DIy0mg%3D%3D&amp;trackingId=CT24XT9rIP3QFpqccEuXuw%3D%3D","Open Job")</f>
        <v>0</v>
      </c>
      <c r="E43" t="s">
        <v>129</v>
      </c>
    </row>
    <row r="44" spans="1:5">
      <c r="A44" t="s">
        <v>8</v>
      </c>
      <c r="B44" t="s">
        <v>85</v>
      </c>
      <c r="C44" t="s">
        <v>126</v>
      </c>
      <c r="D44">
        <f>HYPERLINK("https://ie.linkedin.com/jobs/view/frontend-developer-at-comtrade-360-4378504404?position=4&amp;pageNum=0&amp;refId=ynIrtJdgApgSzX13DIy0mg%3D%3D&amp;trackingId=IG7XjNHXX6oxKfaZuxAM8w%3D%3D","Open Job")</f>
        <v>0</v>
      </c>
      <c r="E44" t="s">
        <v>129</v>
      </c>
    </row>
    <row r="45" spans="1:5">
      <c r="A45" t="s">
        <v>10</v>
      </c>
      <c r="B45" t="s">
        <v>86</v>
      </c>
      <c r="C45" t="s">
        <v>125</v>
      </c>
      <c r="D45">
        <f>HYPERLINK("https://ie.linkedin.com/jobs/view/senior-frontend-engineer-at-stripe-4371513544?position=5&amp;pageNum=0&amp;refId=ynIrtJdgApgSzX13DIy0mg%3D%3D&amp;trackingId=%2FK9hk1kP71gdk7hqarKcew%3D%3D","Open Job")</f>
        <v>0</v>
      </c>
      <c r="E45" t="s">
        <v>129</v>
      </c>
    </row>
    <row r="46" spans="1:5">
      <c r="A46" t="s">
        <v>18</v>
      </c>
      <c r="B46" t="s">
        <v>66</v>
      </c>
      <c r="C46" t="s">
        <v>127</v>
      </c>
      <c r="D46">
        <f>HYPERLINK("https://in.linkedin.com/jobs/view/software-engineer-frontend-at-paypal-4364444879?position=1&amp;pageNum=0&amp;refId=HKuTA3IXAnbo1%2B%2FcYssVuQ%3D%3D&amp;trackingId=rr9XxGxM%2BQuufpKErJui0g%3D%3D","Open Job")</f>
        <v>0</v>
      </c>
      <c r="E46" t="s">
        <v>129</v>
      </c>
    </row>
    <row r="47" spans="1:5">
      <c r="A47" t="s">
        <v>33</v>
      </c>
      <c r="B47" t="s">
        <v>87</v>
      </c>
      <c r="C47" t="s">
        <v>113</v>
      </c>
      <c r="D47">
        <f>HYPERLINK("https://in.linkedin.com/jobs/view/react-developer-at-persistent-systems-4309459084?position=4&amp;pageNum=0&amp;refId=HKuTA3IXAnbo1%2B%2FcYssVuQ%3D%3D&amp;trackingId=64h20EXPmEBCPhXO%2FLHmfw%3D%3D","Open Job")</f>
        <v>0</v>
      </c>
      <c r="E47" t="s">
        <v>129</v>
      </c>
    </row>
    <row r="48" spans="1:5">
      <c r="A48" t="s">
        <v>34</v>
      </c>
      <c r="B48" t="s">
        <v>88</v>
      </c>
      <c r="C48" t="s">
        <v>113</v>
      </c>
      <c r="D48">
        <f>HYPERLINK("https://in.linkedin.com/jobs/view/senior-software-engineer-frontend-at-roku-4312974061?position=6&amp;pageNum=0&amp;refId=HKuTA3IXAnbo1%2B%2FcYssVuQ%3D%3D&amp;trackingId=MQ8xEzEcNY6yDLBfnkPUkw%3D%3D","Open Job")</f>
        <v>0</v>
      </c>
      <c r="E48" t="s">
        <v>129</v>
      </c>
    </row>
    <row r="49" spans="1:5">
      <c r="A49" t="s">
        <v>35</v>
      </c>
      <c r="B49" t="s">
        <v>89</v>
      </c>
      <c r="C49" t="s">
        <v>113</v>
      </c>
      <c r="D49">
        <f>HYPERLINK("https://in.linkedin.com/jobs/view/senior-frontend-engineer-periscope-at-mckinsey-company-4382963014?position=9&amp;pageNum=0&amp;refId=HKuTA3IXAnbo1%2B%2FcYssVuQ%3D%3D&amp;trackingId=6KhYaJQvTQzRjiTi9PfPlQ%3D%3D","Open Job")</f>
        <v>0</v>
      </c>
      <c r="E49" t="s">
        <v>129</v>
      </c>
    </row>
    <row r="50" spans="1:5">
      <c r="A50" t="s">
        <v>36</v>
      </c>
      <c r="B50" t="s">
        <v>90</v>
      </c>
      <c r="C50" t="s">
        <v>114</v>
      </c>
      <c r="D50">
        <f>HYPERLINK("https://in.linkedin.com/jobs/view/react-js-developer-intern-at-weboin-digital-marketing-agency-4379196226?position=3&amp;pageNum=0&amp;refId=vFa%2BuGCq4%2FNpp7TSXio4lQ%3D%3D&amp;trackingId=mxpvVnj4kD4L1fWixN%2FLgQ%3D%3D","Open Job")</f>
        <v>0</v>
      </c>
      <c r="E50" t="s">
        <v>129</v>
      </c>
    </row>
    <row r="51" spans="1:5">
      <c r="A51" t="s">
        <v>8</v>
      </c>
      <c r="B51" t="s">
        <v>91</v>
      </c>
      <c r="C51" t="s">
        <v>114</v>
      </c>
      <c r="D51">
        <f>HYPERLINK("https://in.linkedin.com/jobs/view/frontend-developer-at-scoutit-4381521192?position=4&amp;pageNum=0&amp;refId=vFa%2BuGCq4%2FNpp7TSXio4lQ%3D%3D&amp;trackingId=fAGtY%2BVsjVtlVsz9guv%2BTQ%3D%3D","Open Job")</f>
        <v>0</v>
      </c>
      <c r="E51" t="s">
        <v>129</v>
      </c>
    </row>
    <row r="52" spans="1:5">
      <c r="A52" t="s">
        <v>34</v>
      </c>
      <c r="B52" t="s">
        <v>66</v>
      </c>
      <c r="C52" t="s">
        <v>114</v>
      </c>
      <c r="D52">
        <f>HYPERLINK("https://in.linkedin.com/jobs/view/senior-software-engineer-frontend-at-paypal-4279474942?position=7&amp;pageNum=0&amp;refId=vFa%2BuGCq4%2FNpp7TSXio4lQ%3D%3D&amp;trackingId=e61w7z0bSefkV%2B2i0HPTXQ%3D%3D","Open Job")</f>
        <v>0</v>
      </c>
      <c r="E52" t="s">
        <v>129</v>
      </c>
    </row>
    <row r="53" spans="1:5">
      <c r="A53" t="s">
        <v>37</v>
      </c>
      <c r="B53" t="s">
        <v>92</v>
      </c>
      <c r="C53" t="s">
        <v>114</v>
      </c>
      <c r="D53">
        <f>HYPERLINK("https://in.linkedin.com/jobs/view/react-js-developer-at-teceze-4381546887?position=9&amp;pageNum=0&amp;refId=vFa%2BuGCq4%2FNpp7TSXio4lQ%3D%3D&amp;trackingId=X8hDwH%2BSvUDYpJdrpRMjaw%3D%3D","Open Job")</f>
        <v>0</v>
      </c>
      <c r="E53" t="s">
        <v>129</v>
      </c>
    </row>
    <row r="54" spans="1:5">
      <c r="A54" t="s">
        <v>38</v>
      </c>
      <c r="B54" t="s">
        <v>93</v>
      </c>
      <c r="C54" t="s">
        <v>114</v>
      </c>
      <c r="D54">
        <f>HYPERLINK("https://in.linkedin.com/jobs/view/junior-javascript-developer-remote-work-at-bairesdev-4378821972?position=10&amp;pageNum=0&amp;refId=vFa%2BuGCq4%2FNpp7TSXio4lQ%3D%3D&amp;trackingId=oBLOei6ute6O0zwXVIsFyA%3D%3D","Open Job")</f>
        <v>0</v>
      </c>
      <c r="E54" t="s">
        <v>129</v>
      </c>
    </row>
    <row r="55" spans="1:5">
      <c r="A55" t="s">
        <v>8</v>
      </c>
      <c r="B55" t="s">
        <v>91</v>
      </c>
      <c r="C55" t="s">
        <v>115</v>
      </c>
      <c r="D55">
        <f>HYPERLINK("https://in.linkedin.com/jobs/view/frontend-developer-at-scoutit-4381514620?position=2&amp;pageNum=0&amp;refId=A6FwNIShtoTwha0SOMmohw%3D%3D&amp;trackingId=5U4pZp3RnPGsWQfEUwNK1Q%3D%3D","Open Job")</f>
        <v>0</v>
      </c>
      <c r="E55" t="s">
        <v>129</v>
      </c>
    </row>
    <row r="56" spans="1:5">
      <c r="A56" t="s">
        <v>20</v>
      </c>
      <c r="B56" t="s">
        <v>68</v>
      </c>
      <c r="C56" t="s">
        <v>115</v>
      </c>
      <c r="D56">
        <f>HYPERLINK("https://in.linkedin.com/jobs/view/front-end-software-developer-javascript-react-remote-full-time-hr132-at-smart-working-4380234605?position=3&amp;pageNum=0&amp;refId=A6FwNIShtoTwha0SOMmohw%3D%3D&amp;trackingId=q62nlfJPOmvRes6OIXNHAg%3D%3D","Open Job")</f>
        <v>0</v>
      </c>
      <c r="E56" t="s">
        <v>129</v>
      </c>
    </row>
    <row r="57" spans="1:5">
      <c r="A57" t="s">
        <v>8</v>
      </c>
      <c r="B57" t="s">
        <v>94</v>
      </c>
      <c r="C57" t="s">
        <v>115</v>
      </c>
      <c r="D57">
        <f>HYPERLINK("https://in.linkedin.com/jobs/view/frontend-developer-at-wenger-watson-4381567064?position=4&amp;pageNum=0&amp;refId=A6FwNIShtoTwha0SOMmohw%3D%3D&amp;trackingId=UKD2%2FxBJDotgG4AhkxkMyg%3D%3D","Open Job")</f>
        <v>0</v>
      </c>
      <c r="E57" t="s">
        <v>129</v>
      </c>
    </row>
    <row r="58" spans="1:5">
      <c r="A58" t="s">
        <v>33</v>
      </c>
      <c r="B58" t="s">
        <v>95</v>
      </c>
      <c r="C58" t="s">
        <v>115</v>
      </c>
      <c r="D58">
        <f>HYPERLINK("https://in.linkedin.com/jobs/view/react-developer-at-katalyst-cro-4381961262?position=9&amp;pageNum=0&amp;refId=A6FwNIShtoTwha0SOMmohw%3D%3D&amp;trackingId=B1%2FKv%2B0pnaVXuQjFxecfaQ%3D%3D","Open Job")</f>
        <v>0</v>
      </c>
      <c r="E58" t="s">
        <v>129</v>
      </c>
    </row>
    <row r="59" spans="1:5">
      <c r="A59" t="s">
        <v>39</v>
      </c>
      <c r="B59" t="s">
        <v>96</v>
      </c>
      <c r="C59" t="s">
        <v>115</v>
      </c>
      <c r="D59">
        <f>HYPERLINK("https://in.linkedin.com/jobs/view/react-js-developer-in-hyderabad-at-educase-india-4382192999?position=10&amp;pageNum=0&amp;refId=A6FwNIShtoTwha0SOMmohw%3D%3D&amp;trackingId=QD0o0GgV1l0McXdaRHkMpg%3D%3D","Open Job")</f>
        <v>0</v>
      </c>
      <c r="E59" t="s">
        <v>129</v>
      </c>
    </row>
    <row r="60" spans="1:5">
      <c r="A60" t="s">
        <v>40</v>
      </c>
      <c r="B60" t="s">
        <v>97</v>
      </c>
      <c r="C60" t="s">
        <v>116</v>
      </c>
      <c r="D60">
        <f>HYPERLINK("https://in.linkedin.com/jobs/view/react-js-developer-in-ahmedabad-at-chaintech-network-4380588778?position=3&amp;pageNum=0&amp;refId=%2BRvL2ZGxx1ioN5%2Fos2VrJA%3D%3D&amp;trackingId=CTS9FZ%2FZJaxPAlsz6x1TkA%3D%3D","Open Job")</f>
        <v>0</v>
      </c>
      <c r="E60" t="s">
        <v>129</v>
      </c>
    </row>
    <row r="61" spans="1:5">
      <c r="A61" t="s">
        <v>41</v>
      </c>
      <c r="B61" t="s">
        <v>97</v>
      </c>
      <c r="C61" t="s">
        <v>116</v>
      </c>
      <c r="D61">
        <f>HYPERLINK("https://in.linkedin.com/jobs/view/reactjs-development-internship-in-ahmedabad-at-chaintech-network-4380706032?position=7&amp;pageNum=0&amp;refId=%2BRvL2ZGxx1ioN5%2Fos2VrJA%3D%3D&amp;trackingId=6SzOCzOMm74hQpAQnAPsrg%3D%3D","Open Job")</f>
        <v>0</v>
      </c>
      <c r="E61" t="s">
        <v>129</v>
      </c>
    </row>
    <row r="62" spans="1:5">
      <c r="A62" t="s">
        <v>42</v>
      </c>
      <c r="B62" t="s">
        <v>68</v>
      </c>
      <c r="C62" t="s">
        <v>116</v>
      </c>
      <c r="D62">
        <f>HYPERLINK("https://in.linkedin.com/jobs/view/front-end-engineer-vue-js-react-js-remote-full-time-is004-at-smart-working-4377766395?position=8&amp;pageNum=0&amp;refId=%2BRvL2ZGxx1ioN5%2Fos2VrJA%3D%3D&amp;trackingId=3LF8jUPZKJeo5yzT8h%2FsUA%3D%3D","Open Job")</f>
        <v>0</v>
      </c>
      <c r="E62" t="s">
        <v>129</v>
      </c>
    </row>
    <row r="63" spans="1:5">
      <c r="A63" t="s">
        <v>43</v>
      </c>
      <c r="B63" t="s">
        <v>98</v>
      </c>
      <c r="C63" t="s">
        <v>116</v>
      </c>
      <c r="D63">
        <f>HYPERLINK("https://in.linkedin.com/jobs/view/full-stack-developer-react-js-node-js-at-e2logy-software-solutions-4379171718?position=9&amp;pageNum=0&amp;refId=%2BRvL2ZGxx1ioN5%2Fos2VrJA%3D%3D&amp;trackingId=IfqTn1X7g3N25cs%2BLE8cxQ%3D%3D","Open Job")</f>
        <v>0</v>
      </c>
      <c r="E63" t="s">
        <v>129</v>
      </c>
    </row>
    <row r="64" spans="1:5">
      <c r="A64" t="s">
        <v>7</v>
      </c>
      <c r="B64" t="s">
        <v>50</v>
      </c>
      <c r="C64" t="s">
        <v>105</v>
      </c>
      <c r="D64">
        <f>HYPERLINK("https://ca.linkedin.com/jobs/view/frontend-software-engineer-remote-at-nexus-consulting-4382951509?position=7&amp;pageNum=0&amp;refId=h4r43Urvsn15JJnftyN8uw%3D%3D&amp;trackingId=hjSRRANlTQWrz8wPXEc6Aw%3D%3D","Open Job")</f>
        <v>0</v>
      </c>
      <c r="E64" t="s">
        <v>129</v>
      </c>
    </row>
    <row r="65" spans="1:5">
      <c r="A65" t="s">
        <v>11</v>
      </c>
      <c r="B65" t="s">
        <v>59</v>
      </c>
      <c r="C65" t="s">
        <v>128</v>
      </c>
      <c r="D65">
        <f>HYPERLINK("https://mx.linkedin.com/jobs/view/frontend-engineer-remote-at-north-star-staffing-4382955349?position=10&amp;pageNum=0&amp;refId=h4r43Urvsn15JJnftyN8uw%3D%3D&amp;trackingId=%2FQwTFhCcVxj79%2FDlYDmFRw%3D%3D","Open Job")</f>
        <v>0</v>
      </c>
      <c r="E65" t="s">
        <v>129</v>
      </c>
    </row>
    <row r="66" spans="1:5">
      <c r="A66" t="s">
        <v>7</v>
      </c>
      <c r="B66" t="s">
        <v>99</v>
      </c>
      <c r="C66" t="s">
        <v>111</v>
      </c>
      <c r="D66">
        <f>HYPERLINK("https://de.linkedin.com/jobs/view/frontend-software-engineer-remote-at-quik-hire-staffing-4382936312?position=7&amp;pageNum=0&amp;refId=jDDoTSDSYVb5DSoyfIwJTg%3D%3D&amp;trackingId=QtNb3NpI1EYV7QGvmZA%2BaQ%3D%3D","Open Job")</f>
        <v>0</v>
      </c>
      <c r="E66" t="s">
        <v>129</v>
      </c>
    </row>
    <row r="67" spans="1:5">
      <c r="A67" t="s">
        <v>44</v>
      </c>
      <c r="B67" t="s">
        <v>100</v>
      </c>
      <c r="C67" t="s">
        <v>113</v>
      </c>
      <c r="D67">
        <f>HYPERLINK("https://in.linkedin.com/jobs/view/frontend-developer-wireframe-at-ubique-systems-4381701450?position=4&amp;pageNum=0&amp;refId=s4laZP2P8eGZpEB5FiHh0g%3D%3D&amp;trackingId=PwFMkUXBoQAlAmvN9WFfNA%3D%3D","Open Job")</f>
        <v>0</v>
      </c>
      <c r="E67" t="s">
        <v>129</v>
      </c>
    </row>
    <row r="68" spans="1:5">
      <c r="A68" t="s">
        <v>45</v>
      </c>
      <c r="B68" t="s">
        <v>101</v>
      </c>
      <c r="C68" t="s">
        <v>115</v>
      </c>
      <c r="D68">
        <f>HYPERLINK("https://in.linkedin.com/jobs/view/frontend-developer-vue-js-at-tanla-platforms-limited-4379658046?position=2&amp;pageNum=0&amp;refId=ADu0LbsGkzssEwYbc1PsZg%3D%3D&amp;trackingId=JHqm3XTpfTjbr%2BaTYoDE4w%3D%3D","Open Job")</f>
        <v>0</v>
      </c>
      <c r="E68" t="s">
        <v>129</v>
      </c>
    </row>
    <row r="69" spans="1:5">
      <c r="A69" t="s">
        <v>46</v>
      </c>
      <c r="B69" t="s">
        <v>102</v>
      </c>
      <c r="C69" t="s">
        <v>112</v>
      </c>
      <c r="D69">
        <f>HYPERLINK("https://de.linkedin.com/jobs/view/junior-full-stack-developer-php-javascript-m-w-d-at-finment-4381716039?position=4&amp;pageNum=0&amp;refId=%2Bc59cXFYWYY8Ch%2FbllFmhQ%3D%3D&amp;trackingId=oQ41XE37ecD6eNBpbN%2FQjA%3D%3D","Open Job")</f>
        <v>0</v>
      </c>
      <c r="E6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2026-03-09T11:28:35Z</dcterms:created>
  <dcterms:modified xsi:type="dcterms:W3CDTF">2026-03-09T11:28:35Z</dcterms:modified>
</cp:coreProperties>
</file>